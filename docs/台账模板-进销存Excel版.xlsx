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说明" sheetId="1" state="visible" r:id="rId1"/>
    <sheet xmlns:r="http://schemas.openxmlformats.org/officeDocument/2006/relationships" name="1-商品主数据" sheetId="2" state="visible" r:id="rId2"/>
    <sheet xmlns:r="http://schemas.openxmlformats.org/officeDocument/2006/relationships" name="2-入库流水" sheetId="3" state="visible" r:id="rId3"/>
    <sheet xmlns:r="http://schemas.openxmlformats.org/officeDocument/2006/relationships" name="3-出库流水" sheetId="4" state="visible" r:id="rId4"/>
    <sheet xmlns:r="http://schemas.openxmlformats.org/officeDocument/2006/relationships" name="4-库存汇总" sheetId="5" state="visible" r:id="rId5"/>
    <sheet xmlns:r="http://schemas.openxmlformats.org/officeDocument/2006/relationships" name="5-盘点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进销存 Excel 台账模板（念家鲜饺 · 实习生练习用）</t>
        </is>
      </c>
    </row>
    <row r="2">
      <c r="A2" t="inlineStr"/>
    </row>
    <row r="3">
      <c r="A3" t="inlineStr">
        <is>
          <t>什么是进销存：进货(入库)、销售(出库)、库存 三本账合一的台账。总部仓库每进一批货记入库，每配出一批记出库，结存 = 入库 - 出库。</t>
        </is>
      </c>
    </row>
    <row r="4">
      <c r="A4" t="inlineStr"/>
    </row>
    <row r="5">
      <c r="A5" t="inlineStr">
        <is>
          <t>本模板共 6 个表：0-说明 / 1-商品主数据 / 2-入库流水 / 3-出库流水 / 4-库存汇总 / 5-盘点单</t>
        </is>
      </c>
    </row>
    <row r="6">
      <c r="A6" t="inlineStr">
        <is>
          <t>用法：先填主数据，再记流水；4-库存汇总用 SUMIF 公式自动算结存。</t>
        </is>
      </c>
    </row>
    <row r="7">
      <c r="A7" t="inlineStr">
        <is>
          <t>注意：Excel 台账只适合小规模过渡；门店超过 10 家必须换数据库系统（本项目自研供应链系统就是干这个的）。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5" customWidth="1" min="4" max="4"/>
    <col width="7" customWidth="1" min="5" max="5"/>
    <col width="7" customWidth="1" min="6" max="6"/>
    <col width="8" customWidth="1" min="7" max="7"/>
    <col width="10" customWidth="1" min="8" max="8"/>
    <col width="8" customWidth="1" min="9" max="9"/>
  </cols>
  <sheetData>
    <row r="1">
      <c r="A1" s="2" t="inlineStr">
        <is>
          <t>SKU编号</t>
        </is>
      </c>
      <c r="B1" s="2" t="inlineStr">
        <is>
          <t>品名</t>
        </is>
      </c>
      <c r="C1" s="2" t="inlineStr">
        <is>
          <t>规格</t>
        </is>
      </c>
      <c r="D1" s="2" t="inlineStr">
        <is>
          <t>单位</t>
        </is>
      </c>
      <c r="E1" s="2" t="inlineStr">
        <is>
          <t>基础单位</t>
        </is>
      </c>
      <c r="F1" s="2" t="inlineStr">
        <is>
          <t>换算系数</t>
        </is>
      </c>
      <c r="G1" s="2" t="inlineStr">
        <is>
          <t>类别</t>
        </is>
      </c>
      <c r="H1" s="2" t="inlineStr">
        <is>
          <t>保质期(小时)</t>
        </is>
      </c>
      <c r="I1" s="2" t="inlineStr">
        <is>
          <t>直配/临采</t>
        </is>
      </c>
    </row>
    <row r="2">
      <c r="A2" t="inlineStr">
        <is>
          <t>JL-001</t>
        </is>
      </c>
      <c r="B2" t="inlineStr">
        <is>
          <t>虾仁三鲜馅</t>
        </is>
      </c>
      <c r="C2" t="inlineStr">
        <is>
          <t>5kg/袋</t>
        </is>
      </c>
      <c r="D2" t="inlineStr">
        <is>
          <t>袋</t>
        </is>
      </c>
      <c r="E2" t="inlineStr">
        <is>
          <t>kg</t>
        </is>
      </c>
      <c r="F2" t="n">
        <v>5</v>
      </c>
      <c r="G2" t="inlineStr">
        <is>
          <t>馅料-肉馅</t>
        </is>
      </c>
      <c r="H2" t="n">
        <v>48</v>
      </c>
      <c r="I2" t="inlineStr">
        <is>
          <t>直配</t>
        </is>
      </c>
    </row>
    <row r="3">
      <c r="A3" t="inlineStr">
        <is>
          <t>JL-002</t>
        </is>
      </c>
      <c r="B3" t="inlineStr">
        <is>
          <t>白菜鲜肉馅</t>
        </is>
      </c>
      <c r="C3" t="inlineStr">
        <is>
          <t>5kg/袋</t>
        </is>
      </c>
      <c r="D3" t="inlineStr">
        <is>
          <t>袋</t>
        </is>
      </c>
      <c r="E3" t="inlineStr">
        <is>
          <t>kg</t>
        </is>
      </c>
      <c r="F3" t="n">
        <v>5</v>
      </c>
      <c r="G3" t="inlineStr">
        <is>
          <t>馅料-肉馅</t>
        </is>
      </c>
      <c r="H3" t="n">
        <v>48</v>
      </c>
      <c r="I3" t="inlineStr">
        <is>
          <t>直配</t>
        </is>
      </c>
    </row>
    <row r="4">
      <c r="A4" t="inlineStr">
        <is>
          <t>JL-003</t>
        </is>
      </c>
      <c r="B4" t="inlineStr">
        <is>
          <t>鲅鱼馅</t>
        </is>
      </c>
      <c r="C4" t="inlineStr">
        <is>
          <t>5kg/袋</t>
        </is>
      </c>
      <c r="D4" t="inlineStr">
        <is>
          <t>袋</t>
        </is>
      </c>
      <c r="E4" t="inlineStr">
        <is>
          <t>kg</t>
        </is>
      </c>
      <c r="F4" t="n">
        <v>5</v>
      </c>
      <c r="G4" t="inlineStr">
        <is>
          <t>馅料-海鲜</t>
        </is>
      </c>
      <c r="H4" t="n">
        <v>36</v>
      </c>
      <c r="I4" t="inlineStr">
        <is>
          <t>直配</t>
        </is>
      </c>
    </row>
    <row r="5">
      <c r="A5" t="inlineStr">
        <is>
          <t>MP-001</t>
        </is>
      </c>
      <c r="B5" t="inlineStr">
        <is>
          <t>饺子皮</t>
        </is>
      </c>
      <c r="C5" t="inlineStr">
        <is>
          <t>2.5kg/袋</t>
        </is>
      </c>
      <c r="D5" t="inlineStr">
        <is>
          <t>袋</t>
        </is>
      </c>
      <c r="E5" t="inlineStr">
        <is>
          <t>kg</t>
        </is>
      </c>
      <c r="F5" t="n">
        <v>2.5</v>
      </c>
      <c r="G5" t="inlineStr">
        <is>
          <t>面皮</t>
        </is>
      </c>
      <c r="H5" t="n">
        <v>24</v>
      </c>
      <c r="I5" t="inlineStr">
        <is>
          <t>直配</t>
        </is>
      </c>
    </row>
    <row r="6">
      <c r="A6" t="inlineStr">
        <is>
          <t>TL-001</t>
        </is>
      </c>
      <c r="B6" t="inlineStr">
        <is>
          <t>金龙鱼调和油</t>
        </is>
      </c>
      <c r="C6" t="inlineStr">
        <is>
          <t>20L/桶</t>
        </is>
      </c>
      <c r="D6" t="inlineStr">
        <is>
          <t>桶</t>
        </is>
      </c>
      <c r="E6" t="inlineStr">
        <is>
          <t>L</t>
        </is>
      </c>
      <c r="F6" t="n">
        <v>20</v>
      </c>
      <c r="G6" t="inlineStr">
        <is>
          <t>调料</t>
        </is>
      </c>
      <c r="H6" t="n">
        <v>4320</v>
      </c>
      <c r="I6" t="inlineStr">
        <is>
          <t>直配</t>
        </is>
      </c>
    </row>
    <row r="7">
      <c r="A7" t="inlineStr">
        <is>
          <t>LX-001</t>
        </is>
      </c>
      <c r="B7" t="inlineStr">
        <is>
          <t>小葱</t>
        </is>
      </c>
      <c r="C7" t="inlineStr">
        <is>
          <t>0.5kg/捆</t>
        </is>
      </c>
      <c r="D7" t="inlineStr">
        <is>
          <t>捆</t>
        </is>
      </c>
      <c r="E7" t="inlineStr">
        <is>
          <t>kg</t>
        </is>
      </c>
      <c r="F7" t="n">
        <v>0.5</v>
      </c>
      <c r="G7" t="inlineStr">
        <is>
          <t>鲜活</t>
        </is>
      </c>
      <c r="H7" t="n">
        <v>24</v>
      </c>
      <c r="I7" t="inlineStr">
        <is>
          <t>临采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9" customWidth="1" min="4" max="4"/>
    <col width="5" customWidth="1" min="5" max="5"/>
    <col width="5" customWidth="1" min="6" max="6"/>
    <col width="8" customWidth="1" min="7" max="7"/>
    <col width="9" customWidth="1" min="8" max="8"/>
    <col width="14" customWidth="1" min="9" max="9"/>
    <col width="13" customWidth="1" min="10" max="10"/>
  </cols>
  <sheetData>
    <row r="1">
      <c r="A1" s="2" t="inlineStr">
        <is>
          <t>日期</t>
        </is>
      </c>
      <c r="B1" s="2" t="inlineStr">
        <is>
          <t>入库单号</t>
        </is>
      </c>
      <c r="C1" s="2" t="inlineStr">
        <is>
          <t>供应商</t>
        </is>
      </c>
      <c r="D1" s="2" t="inlineStr">
        <is>
          <t>SKU编号</t>
        </is>
      </c>
      <c r="E1" s="2" t="inlineStr">
        <is>
          <t>数量</t>
        </is>
      </c>
      <c r="F1" s="2" t="inlineStr">
        <is>
          <t>单位</t>
        </is>
      </c>
      <c r="G1" s="2" t="inlineStr">
        <is>
          <t>单价(元)</t>
        </is>
      </c>
      <c r="H1" s="2" t="inlineStr">
        <is>
          <t>金额(元)</t>
        </is>
      </c>
      <c r="I1" s="2" t="inlineStr">
        <is>
          <t>批次号</t>
        </is>
      </c>
      <c r="J1" s="2" t="inlineStr">
        <is>
          <t>保质期至</t>
        </is>
      </c>
    </row>
    <row r="2">
      <c r="A2" t="inlineStr">
        <is>
          <t>2026-10-12</t>
        </is>
      </c>
      <c r="B2" t="inlineStr">
        <is>
          <t>RK-1001</t>
        </is>
      </c>
      <c r="C2" t="inlineStr">
        <is>
          <t>双汇</t>
        </is>
      </c>
      <c r="D2" t="inlineStr">
        <is>
          <t>JL-001</t>
        </is>
      </c>
      <c r="E2" t="n">
        <v>20</v>
      </c>
      <c r="F2" t="inlineStr">
        <is>
          <t>袋</t>
        </is>
      </c>
      <c r="G2" t="n">
        <v>60</v>
      </c>
      <c r="H2">
        <f>F2*G2</f>
        <v/>
      </c>
      <c r="I2" t="inlineStr">
        <is>
          <t>PC20261012A</t>
        </is>
      </c>
      <c r="J2" t="inlineStr">
        <is>
          <t>2026-10-14</t>
        </is>
      </c>
    </row>
    <row r="3">
      <c r="A3" t="inlineStr">
        <is>
          <t>2026-10-12</t>
        </is>
      </c>
      <c r="B3" t="inlineStr">
        <is>
          <t>RK-1002</t>
        </is>
      </c>
      <c r="C3" t="inlineStr">
        <is>
          <t>本地蔬菜基地</t>
        </is>
      </c>
      <c r="D3" t="inlineStr">
        <is>
          <t>JL-002</t>
        </is>
      </c>
      <c r="E3" t="n">
        <v>10</v>
      </c>
      <c r="F3" t="inlineStr">
        <is>
          <t>袋</t>
        </is>
      </c>
      <c r="G3" t="n">
        <v>45</v>
      </c>
      <c r="H3">
        <f>F3*G3</f>
        <v/>
      </c>
      <c r="I3" t="inlineStr">
        <is>
          <t>PC20261012B</t>
        </is>
      </c>
      <c r="J3" t="inlineStr">
        <is>
          <t>2026-10-14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9" customWidth="1" min="4" max="4"/>
    <col width="5" customWidth="1" min="5" max="5"/>
    <col width="5" customWidth="1" min="6" max="6"/>
    <col width="14" customWidth="1" min="7" max="7"/>
    <col width="6" customWidth="1" min="8" max="8"/>
  </cols>
  <sheetData>
    <row r="1">
      <c r="A1" s="2" t="inlineStr">
        <is>
          <t>日期</t>
        </is>
      </c>
      <c r="B1" s="2" t="inlineStr">
        <is>
          <t>出库单号</t>
        </is>
      </c>
      <c r="C1" s="2" t="inlineStr">
        <is>
          <t>门店</t>
        </is>
      </c>
      <c r="D1" s="2" t="inlineStr">
        <is>
          <t>SKU编号</t>
        </is>
      </c>
      <c r="E1" s="2" t="inlineStr">
        <is>
          <t>数量</t>
        </is>
      </c>
      <c r="F1" s="2" t="inlineStr">
        <is>
          <t>单位</t>
        </is>
      </c>
      <c r="G1" s="2" t="inlineStr">
        <is>
          <t>批次号</t>
        </is>
      </c>
      <c r="H1" s="2" t="inlineStr">
        <is>
          <t>签收人</t>
        </is>
      </c>
    </row>
    <row r="2">
      <c r="A2" t="inlineStr">
        <is>
          <t>2026-10-12</t>
        </is>
      </c>
      <c r="B2" t="inlineStr">
        <is>
          <t>CK-1001</t>
        </is>
      </c>
      <c r="C2" t="inlineStr">
        <is>
          <t>潍坊001店</t>
        </is>
      </c>
      <c r="D2" t="inlineStr">
        <is>
          <t>JL-001</t>
        </is>
      </c>
      <c r="E2" t="n">
        <v>4</v>
      </c>
      <c r="F2" t="inlineStr">
        <is>
          <t>袋</t>
        </is>
      </c>
      <c r="G2" t="inlineStr">
        <is>
          <t>PC20261012A</t>
        </is>
      </c>
      <c r="H2" t="inlineStr">
        <is>
          <t>张三</t>
        </is>
      </c>
    </row>
    <row r="3">
      <c r="A3" t="inlineStr">
        <is>
          <t>2026-10-12</t>
        </is>
      </c>
      <c r="B3" t="inlineStr">
        <is>
          <t>CK-1002</t>
        </is>
      </c>
      <c r="C3" t="inlineStr">
        <is>
          <t>潍坊002店</t>
        </is>
      </c>
      <c r="D3" t="inlineStr">
        <is>
          <t>JL-002</t>
        </is>
      </c>
      <c r="E3" t="n">
        <v>3</v>
      </c>
      <c r="F3" t="inlineStr">
        <is>
          <t>袋</t>
        </is>
      </c>
      <c r="G3" t="inlineStr">
        <is>
          <t>PC20261012B</t>
        </is>
      </c>
      <c r="H3" t="inlineStr">
        <is>
          <t>李四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30" customWidth="1" min="3" max="3"/>
    <col width="30" customWidth="1" min="4" max="4"/>
    <col width="9" customWidth="1" min="5" max="5"/>
    <col width="13" customWidth="1" min="6" max="6"/>
    <col width="30" customWidth="1" min="7" max="7"/>
  </cols>
  <sheetData>
    <row r="1">
      <c r="A1" s="2" t="inlineStr">
        <is>
          <t>SKU编号</t>
        </is>
      </c>
      <c r="B1" s="2" t="inlineStr">
        <is>
          <t>品名</t>
        </is>
      </c>
      <c r="C1" s="2" t="inlineStr">
        <is>
          <t>累计入库</t>
        </is>
      </c>
      <c r="D1" s="2" t="inlineStr">
        <is>
          <t>累计出库</t>
        </is>
      </c>
      <c r="E1" s="2" t="inlineStr">
        <is>
          <t>结存</t>
        </is>
      </c>
      <c r="F1" s="2" t="inlineStr">
        <is>
          <t>结存(基础单位kg)</t>
        </is>
      </c>
      <c r="G1" s="2" t="inlineStr">
        <is>
          <t>核对</t>
        </is>
      </c>
    </row>
    <row r="2">
      <c r="A2" t="inlineStr">
        <is>
          <t>JL-001</t>
        </is>
      </c>
      <c r="B2" t="inlineStr">
        <is>
          <t>虾仁三鲜馅</t>
        </is>
      </c>
      <c r="C2">
        <f>SUMIF('2-入库流水'!$D:$D,A2,'2-入库流水'!$F:$F)</f>
        <v/>
      </c>
      <c r="D2">
        <f>SUMIF('3-出库流水'!$D:$D,A2,'3-出库流水'!$E:$E)</f>
        <v/>
      </c>
      <c r="E2">
        <f>C2-D2</f>
        <v/>
      </c>
      <c r="F2">
        <f>E2*5</f>
        <v/>
      </c>
      <c r="G2">
        <f>IF(D2&gt;C2,"警告:出库大于入库","正常")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6" customWidth="1" min="4" max="4"/>
    <col width="9" customWidth="1" min="5" max="5"/>
    <col width="5" customWidth="1" min="6" max="6"/>
  </cols>
  <sheetData>
    <row r="1">
      <c r="A1" s="2" t="inlineStr">
        <is>
          <t>SKU编号</t>
        </is>
      </c>
      <c r="B1" s="2" t="inlineStr">
        <is>
          <t>品名</t>
        </is>
      </c>
      <c r="C1" s="2" t="inlineStr">
        <is>
          <t>账面数</t>
        </is>
      </c>
      <c r="D1" s="2" t="inlineStr">
        <is>
          <t>实盘数</t>
        </is>
      </c>
      <c r="E1" s="2" t="inlineStr">
        <is>
          <t>盈亏</t>
        </is>
      </c>
      <c r="F1" s="2" t="inlineStr">
        <is>
          <t>备注</t>
        </is>
      </c>
    </row>
    <row r="2">
      <c r="A2" t="inlineStr">
        <is>
          <t>JL-001</t>
        </is>
      </c>
      <c r="B2" t="inlineStr">
        <is>
          <t>虾仁三鲜馅</t>
        </is>
      </c>
      <c r="C2" t="n">
        <v>16</v>
      </c>
      <c r="D2" t="n">
        <v>15</v>
      </c>
      <c r="E2">
        <f>C2-D2</f>
        <v/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2026-10-12T06:31:09Z</dcterms:created>
  <dcterms:modified xmlns:dcterms="http://purl.org/dc/terms/" xmlns:xsi="http://www.w3.org/2001/XMLSchema-instance" xsi:type="dcterms:W3CDTF">2026-10-12T06:31:09Z</dcterms:modified>
</cp:coreProperties>
</file>